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mu\source\repos\megmuni\ABM-Random-Forest\"/>
    </mc:Choice>
  </mc:AlternateContent>
  <xr:revisionPtr revIDLastSave="0" documentId="13_ncr:1_{A21C1746-17A8-45AC-99F2-6D813D109A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3" i="1" l="1"/>
  <c r="D31" i="1"/>
  <c r="D26" i="1"/>
  <c r="F55" i="1"/>
  <c r="F56" i="1"/>
  <c r="F57" i="1"/>
  <c r="F58" i="1"/>
  <c r="F59" i="1"/>
  <c r="F60" i="1"/>
  <c r="F61" i="1"/>
  <c r="F62" i="1"/>
  <c r="F63" i="1"/>
  <c r="F64" i="1"/>
  <c r="D64" i="1" s="1"/>
  <c r="F65" i="1"/>
  <c r="F66" i="1"/>
  <c r="F67" i="1"/>
  <c r="E66" i="1"/>
  <c r="E67" i="1"/>
  <c r="D67" i="1" s="1"/>
  <c r="E55" i="1"/>
  <c r="E56" i="1"/>
  <c r="E57" i="1"/>
  <c r="E58" i="1"/>
  <c r="E59" i="1"/>
  <c r="E60" i="1"/>
  <c r="E61" i="1"/>
  <c r="E62" i="1"/>
  <c r="E63" i="1"/>
  <c r="E64" i="1"/>
  <c r="E65" i="1"/>
  <c r="F54" i="1"/>
  <c r="E54" i="1"/>
  <c r="D46" i="1"/>
  <c r="D2" i="1"/>
  <c r="D52" i="1"/>
  <c r="D53" i="1"/>
  <c r="D4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7" i="1"/>
  <c r="D28" i="1"/>
  <c r="D29" i="1"/>
  <c r="D30" i="1"/>
  <c r="D32" i="1"/>
  <c r="D33" i="1"/>
  <c r="D34" i="1"/>
  <c r="D35" i="1"/>
  <c r="D36" i="1"/>
  <c r="D37" i="1"/>
  <c r="D38" i="1"/>
  <c r="D39" i="1"/>
  <c r="D40" i="1"/>
  <c r="D41" i="1"/>
  <c r="D42" i="1"/>
  <c r="D44" i="1"/>
  <c r="D45" i="1"/>
  <c r="D48" i="1"/>
  <c r="D49" i="1"/>
  <c r="D50" i="1"/>
  <c r="D51" i="1"/>
  <c r="D55" i="1" l="1"/>
  <c r="D62" i="1"/>
  <c r="D61" i="1"/>
  <c r="D63" i="1"/>
  <c r="D59" i="1"/>
  <c r="D57" i="1"/>
  <c r="D60" i="1"/>
  <c r="D56" i="1"/>
  <c r="D65" i="1"/>
  <c r="D58" i="1"/>
  <c r="D54" i="1"/>
  <c r="D66" i="1"/>
</calcChain>
</file>

<file path=xl/sharedStrings.xml><?xml version="1.0" encoding="utf-8"?>
<sst xmlns="http://schemas.openxmlformats.org/spreadsheetml/2006/main" count="111" uniqueCount="81">
  <si>
    <t>Mean</t>
  </si>
  <si>
    <t>SD</t>
  </si>
  <si>
    <t>Type</t>
  </si>
  <si>
    <t>Types</t>
  </si>
  <si>
    <t>lognormal distribution</t>
  </si>
  <si>
    <t>discrete lognormal distribution</t>
  </si>
  <si>
    <t>normal distribution (typically used for half-lives)</t>
  </si>
  <si>
    <t>Biomaterial</t>
  </si>
  <si>
    <t xml:space="preserve">uniform distribution </t>
  </si>
  <si>
    <t>Vary?</t>
  </si>
  <si>
    <t>N</t>
  </si>
  <si>
    <t>Lower</t>
  </si>
  <si>
    <t>Upper</t>
  </si>
  <si>
    <t>Parameter Number</t>
  </si>
  <si>
    <t>Parameter Name</t>
  </si>
  <si>
    <t>cell:proliferation:hours_between_proliferation</t>
  </si>
  <si>
    <t>cell:proliferation:tgf_threshold</t>
  </si>
  <si>
    <t>cell:proliferation:log_scale</t>
  </si>
  <si>
    <t>cell:proliferation:log_offset</t>
  </si>
  <si>
    <t>cell:cytokine_synthesis:tgf_baseline</t>
  </si>
  <si>
    <t>cell:cytokine_synthesis:tgf_feedback_tgf</t>
  </si>
  <si>
    <t>cell:cytokine_synthesis:tgf_feedback_il1beta</t>
  </si>
  <si>
    <t>cell:cytokine_synthesis:tgf_feedback_tnf</t>
  </si>
  <si>
    <t>cell:cytokine_synthesis:tnf_baseline</t>
  </si>
  <si>
    <t>cell:cytokine_synthesis:tnf_feedback_il1beta</t>
  </si>
  <si>
    <t>cell:cytokine_synthesis:tnf_feedback_tgf_denom</t>
  </si>
  <si>
    <t>cell:cytokine_synthesis:il1beta_baseline</t>
  </si>
  <si>
    <t>cell:cytokine_synthesis:il1beta_feedback_tnf</t>
  </si>
  <si>
    <t>cell:cytokine_synthesis:il1beta_feedback_tgf_denom</t>
  </si>
  <si>
    <t>stem:ocr_fmol_per_hour_per_cell</t>
  </si>
  <si>
    <t>stem:apoptosis_chance</t>
  </si>
  <si>
    <t>stem:migration:elasticity_effect</t>
  </si>
  <si>
    <t>stem:migration:baseline_speed</t>
  </si>
  <si>
    <t>stem:cytokine_synthesis:tgf_baseline</t>
  </si>
  <si>
    <t>stem:cytokine_synthesis:tnf_baseline</t>
  </si>
  <si>
    <t>stem:cytokine_synthesis:il1beta_baseline</t>
  </si>
  <si>
    <t>stem:collagen_synthesis:baseline_rate</t>
  </si>
  <si>
    <t>stem:aggrecan_synthesis:tgf_threshold</t>
  </si>
  <si>
    <t>stem:proliferation:tgf_threshold</t>
  </si>
  <si>
    <t>stem:proliferation:tnf_effect</t>
  </si>
  <si>
    <t>stem:proliferation:il1beta_effect</t>
  </si>
  <si>
    <t>stem:proliferation:elasticity_effect</t>
  </si>
  <si>
    <t>stem:differentiation:asymmetric_probability</t>
  </si>
  <si>
    <t>stem:differentiation:baseline_probability</t>
  </si>
  <si>
    <t>stem:differentiation:tgf_effect</t>
  </si>
  <si>
    <t>stem:differentiation:hours_between_attempts</t>
  </si>
  <si>
    <t>progen:ocr_fmol_per_hour_per_cell</t>
  </si>
  <si>
    <t>progen:apoptosis_chance</t>
  </si>
  <si>
    <t>progen:migration:elasticity_effect</t>
  </si>
  <si>
    <t>progen:migration:baseline_speed</t>
  </si>
  <si>
    <t>progen:cytokine_synthesis:tgf_baseline</t>
  </si>
  <si>
    <t>progen:cytokine_synthesis:tnf_baseline</t>
  </si>
  <si>
    <t>progen:cytokine_synthesis:il1beta_baseline</t>
  </si>
  <si>
    <t>progen:aggrecan_synthesis:baseline_rate</t>
  </si>
  <si>
    <t>np:ocr_fmol_per_hour_per_cell</t>
  </si>
  <si>
    <t>np:apoptosis_chance</t>
  </si>
  <si>
    <t>np:migration:elasticity_effect</t>
  </si>
  <si>
    <t>np:migration:baseline_speed</t>
  </si>
  <si>
    <t>np:collagen_synthesis:scaling_factor</t>
  </si>
  <si>
    <t>np:collagen_synthesis:time_effect</t>
  </si>
  <si>
    <t>np:collagen_synthesis:baseline_rate</t>
  </si>
  <si>
    <t>np:aggrecan_synthesis:scaling_factor</t>
  </si>
  <si>
    <t>np:aggrecan_synthesis:time_effect</t>
  </si>
  <si>
    <t>np:aggrecan_synthesis:baseline_rate</t>
  </si>
  <si>
    <t>biomaterial:elastic_modulus:intercept</t>
  </si>
  <si>
    <t>biomaterial:elastic_modulus:crosslinker_density</t>
  </si>
  <si>
    <t>biomaterial:pore_size:crosslinker_effect</t>
  </si>
  <si>
    <t>biomaterial:pore_size:baseline</t>
  </si>
  <si>
    <t>biomaterial:mass_loss:baseline</t>
  </si>
  <si>
    <t>biomaterial:mass_loss:crosslinker_effect</t>
  </si>
  <si>
    <t>biomaterial:mass_loss:time_effect</t>
  </si>
  <si>
    <t>biomaterial:mass_loss:crosslinker_time_interaction</t>
  </si>
  <si>
    <t>biomaterial:swell_ratio:baseline</t>
  </si>
  <si>
    <t>biomaterial:swell_ratio:time_effect</t>
  </si>
  <si>
    <t>biomaterial:swell_ratio:alginate_concentration_effect</t>
  </si>
  <si>
    <t>biomaterial:swell_ratio:time_crosslinker_interaction</t>
  </si>
  <si>
    <t>biomaterial:swell_ratio:alginate_crosslinker_interaction</t>
  </si>
  <si>
    <t>biomaterial:elastic_modulus:alginate_molecular_weight</t>
  </si>
  <si>
    <t>stem:proliferation:static_probability</t>
  </si>
  <si>
    <t>stem:differentiation:static_probability</t>
  </si>
  <si>
    <t>progen:differentiation:static_probability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</si>
</sst>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topLeftCell="A16" zoomScale="88" workbookViewId="0">
      <selection activeCell="E40" sqref="E40"/>
    </sheetView>
  </sheetViews>
  <sheetFormatPr defaultColWidth="8.88671875" defaultRowHeight="14.4" x14ac:dyDescent="0.3"/>
  <cols>
    <col min="1" max="2" width="21" customWidth="1"/>
    <col min="3" max="3" width="22.109375" customWidth="1"/>
    <col min="4" max="4" width="22" customWidth="1"/>
  </cols>
  <sheetData>
    <row r="1" spans="1:11" x14ac:dyDescent="0.3">
      <c r="A1" t="s">
        <v>13</v>
      </c>
      <c r="B1" t="s">
        <v>14</v>
      </c>
      <c r="C1" t="s">
        <v>0</v>
      </c>
      <c r="D1" t="s">
        <v>1</v>
      </c>
      <c r="E1" t="s">
        <v>11</v>
      </c>
      <c r="F1" t="s">
        <v>12</v>
      </c>
      <c r="G1" t="s">
        <v>2</v>
      </c>
      <c r="H1" t="s">
        <v>9</v>
      </c>
    </row>
    <row r="2" spans="1:11" x14ac:dyDescent="0.3">
      <c r="A2">
        <v>1</v>
      </c>
      <c r="B2" t="s">
        <v>15</v>
      </c>
      <c r="C2">
        <v>24</v>
      </c>
      <c r="D2">
        <f>(F2-E2)/4</f>
        <v>0.5</v>
      </c>
      <c r="E2" s="2">
        <v>23</v>
      </c>
      <c r="F2" s="2">
        <v>25</v>
      </c>
      <c r="G2">
        <v>4</v>
      </c>
      <c r="H2" t="s">
        <v>10</v>
      </c>
      <c r="J2" t="s">
        <v>3</v>
      </c>
    </row>
    <row r="3" spans="1:11" x14ac:dyDescent="0.3">
      <c r="A3">
        <v>2</v>
      </c>
      <c r="B3" t="s">
        <v>16</v>
      </c>
      <c r="C3">
        <v>10</v>
      </c>
      <c r="D3">
        <f t="shared" ref="D3:D53" si="0">(F3-E3)/4</f>
        <v>24.75</v>
      </c>
      <c r="E3">
        <v>1</v>
      </c>
      <c r="F3">
        <v>100</v>
      </c>
      <c r="G3">
        <v>1</v>
      </c>
      <c r="J3">
        <v>1</v>
      </c>
      <c r="K3" t="s">
        <v>4</v>
      </c>
    </row>
    <row r="4" spans="1:11" x14ac:dyDescent="0.3">
      <c r="A4">
        <v>3</v>
      </c>
      <c r="B4" t="s">
        <v>17</v>
      </c>
      <c r="C4">
        <v>1</v>
      </c>
      <c r="D4">
        <f t="shared" si="0"/>
        <v>0.24975</v>
      </c>
      <c r="E4">
        <v>1E-3</v>
      </c>
      <c r="F4">
        <v>1</v>
      </c>
      <c r="G4">
        <v>1</v>
      </c>
      <c r="J4">
        <v>2</v>
      </c>
      <c r="K4" t="s">
        <v>5</v>
      </c>
    </row>
    <row r="5" spans="1:11" x14ac:dyDescent="0.3">
      <c r="A5">
        <v>4</v>
      </c>
      <c r="B5" t="s">
        <v>18</v>
      </c>
      <c r="C5">
        <v>0</v>
      </c>
      <c r="D5">
        <f t="shared" si="0"/>
        <v>0.24975</v>
      </c>
      <c r="E5">
        <v>1E-3</v>
      </c>
      <c r="F5">
        <v>1</v>
      </c>
      <c r="G5">
        <v>3</v>
      </c>
      <c r="J5">
        <v>3</v>
      </c>
      <c r="K5" t="s">
        <v>6</v>
      </c>
    </row>
    <row r="6" spans="1:11" x14ac:dyDescent="0.3">
      <c r="A6">
        <v>5</v>
      </c>
      <c r="B6" t="s">
        <v>19</v>
      </c>
      <c r="C6">
        <v>10</v>
      </c>
      <c r="D6">
        <f t="shared" si="0"/>
        <v>12.25</v>
      </c>
      <c r="E6">
        <v>1</v>
      </c>
      <c r="F6">
        <v>50</v>
      </c>
      <c r="G6">
        <v>1</v>
      </c>
      <c r="J6">
        <v>4</v>
      </c>
      <c r="K6" t="s">
        <v>8</v>
      </c>
    </row>
    <row r="7" spans="1:11" x14ac:dyDescent="0.3">
      <c r="A7">
        <v>6</v>
      </c>
      <c r="B7" t="s">
        <v>20</v>
      </c>
      <c r="C7">
        <v>0.05</v>
      </c>
      <c r="D7">
        <f t="shared" si="0"/>
        <v>0.24975</v>
      </c>
      <c r="E7">
        <v>1E-3</v>
      </c>
      <c r="F7">
        <v>1</v>
      </c>
      <c r="G7">
        <v>1</v>
      </c>
    </row>
    <row r="8" spans="1:11" x14ac:dyDescent="0.3">
      <c r="A8">
        <v>7</v>
      </c>
      <c r="B8" t="s">
        <v>21</v>
      </c>
      <c r="C8">
        <v>10</v>
      </c>
      <c r="D8">
        <f t="shared" si="0"/>
        <v>12.25</v>
      </c>
      <c r="E8">
        <v>1</v>
      </c>
      <c r="F8">
        <v>50</v>
      </c>
      <c r="G8">
        <v>1</v>
      </c>
    </row>
    <row r="9" spans="1:11" x14ac:dyDescent="0.3">
      <c r="A9">
        <v>8</v>
      </c>
      <c r="B9" t="s">
        <v>22</v>
      </c>
      <c r="C9">
        <v>5</v>
      </c>
      <c r="D9">
        <f t="shared" si="0"/>
        <v>2.25</v>
      </c>
      <c r="E9">
        <v>1</v>
      </c>
      <c r="F9">
        <v>10</v>
      </c>
      <c r="G9">
        <v>1</v>
      </c>
    </row>
    <row r="10" spans="1:11" x14ac:dyDescent="0.3">
      <c r="A10">
        <v>9</v>
      </c>
      <c r="B10" t="s">
        <v>23</v>
      </c>
      <c r="C10">
        <v>2.4</v>
      </c>
      <c r="D10">
        <f t="shared" si="0"/>
        <v>2.25</v>
      </c>
      <c r="E10">
        <v>1</v>
      </c>
      <c r="F10">
        <v>10</v>
      </c>
      <c r="G10">
        <v>1</v>
      </c>
    </row>
    <row r="11" spans="1:11" x14ac:dyDescent="0.3">
      <c r="A11">
        <v>10</v>
      </c>
      <c r="B11" t="s">
        <v>24</v>
      </c>
      <c r="C11">
        <v>4</v>
      </c>
      <c r="D11">
        <f t="shared" si="0"/>
        <v>2.25</v>
      </c>
      <c r="E11">
        <v>1</v>
      </c>
      <c r="F11">
        <v>10</v>
      </c>
      <c r="G11">
        <v>1</v>
      </c>
    </row>
    <row r="12" spans="1:11" x14ac:dyDescent="0.3">
      <c r="A12">
        <v>11</v>
      </c>
      <c r="B12" t="s">
        <v>25</v>
      </c>
      <c r="C12">
        <v>2</v>
      </c>
      <c r="D12">
        <f t="shared" si="0"/>
        <v>2.25</v>
      </c>
      <c r="E12">
        <v>1</v>
      </c>
      <c r="F12">
        <v>10</v>
      </c>
      <c r="G12">
        <v>1</v>
      </c>
    </row>
    <row r="13" spans="1:11" x14ac:dyDescent="0.3">
      <c r="A13">
        <v>12</v>
      </c>
      <c r="B13" t="s">
        <v>26</v>
      </c>
      <c r="C13">
        <v>5</v>
      </c>
      <c r="D13">
        <f t="shared" si="0"/>
        <v>2.25</v>
      </c>
      <c r="E13">
        <v>1</v>
      </c>
      <c r="F13">
        <v>10</v>
      </c>
      <c r="G13">
        <v>1</v>
      </c>
    </row>
    <row r="14" spans="1:11" x14ac:dyDescent="0.3">
      <c r="A14">
        <v>13</v>
      </c>
      <c r="B14" t="s">
        <v>27</v>
      </c>
      <c r="C14">
        <v>1</v>
      </c>
      <c r="D14">
        <f t="shared" si="0"/>
        <v>2.25</v>
      </c>
      <c r="E14">
        <v>1</v>
      </c>
      <c r="F14">
        <v>10</v>
      </c>
      <c r="G14">
        <v>1</v>
      </c>
    </row>
    <row r="15" spans="1:11" x14ac:dyDescent="0.3">
      <c r="A15">
        <v>14</v>
      </c>
      <c r="B15" t="s">
        <v>28</v>
      </c>
      <c r="C15">
        <v>3.2</v>
      </c>
      <c r="D15">
        <f t="shared" si="0"/>
        <v>2.25</v>
      </c>
      <c r="E15">
        <v>1</v>
      </c>
      <c r="F15">
        <v>10</v>
      </c>
      <c r="G15">
        <v>1</v>
      </c>
    </row>
    <row r="16" spans="1:11" x14ac:dyDescent="0.3">
      <c r="A16">
        <v>15</v>
      </c>
      <c r="B16" t="s">
        <v>29</v>
      </c>
      <c r="C16">
        <v>104.65</v>
      </c>
      <c r="D16">
        <f t="shared" si="0"/>
        <v>112.5</v>
      </c>
      <c r="E16" s="2">
        <v>50</v>
      </c>
      <c r="F16" s="2">
        <v>500</v>
      </c>
      <c r="G16">
        <v>1</v>
      </c>
      <c r="H16" t="s">
        <v>10</v>
      </c>
    </row>
    <row r="17" spans="1:8" x14ac:dyDescent="0.3">
      <c r="A17">
        <v>16</v>
      </c>
      <c r="B17" t="s">
        <v>30</v>
      </c>
      <c r="C17">
        <v>0.1</v>
      </c>
      <c r="D17">
        <f t="shared" si="0"/>
        <v>0.24975</v>
      </c>
      <c r="E17">
        <v>1E-3</v>
      </c>
      <c r="F17">
        <v>1</v>
      </c>
      <c r="G17">
        <v>2</v>
      </c>
    </row>
    <row r="18" spans="1:8" x14ac:dyDescent="0.3">
      <c r="A18">
        <v>17</v>
      </c>
      <c r="B18" t="s">
        <v>31</v>
      </c>
      <c r="C18">
        <v>0.11</v>
      </c>
      <c r="D18">
        <f t="shared" si="0"/>
        <v>0.27225000000000005</v>
      </c>
      <c r="E18" s="2">
        <v>1.0999999999999999E-2</v>
      </c>
      <c r="F18" s="2">
        <v>1.1000000000000001</v>
      </c>
      <c r="G18">
        <v>1</v>
      </c>
      <c r="H18" t="s">
        <v>10</v>
      </c>
    </row>
    <row r="19" spans="1:8" x14ac:dyDescent="0.3">
      <c r="A19">
        <v>18</v>
      </c>
      <c r="B19" t="s">
        <v>32</v>
      </c>
      <c r="C19">
        <v>0.35</v>
      </c>
      <c r="D19">
        <f t="shared" si="0"/>
        <v>0.86624999999999996</v>
      </c>
      <c r="E19" s="2">
        <v>3.5000000000000003E-2</v>
      </c>
      <c r="F19" s="2">
        <v>3.5</v>
      </c>
      <c r="G19">
        <v>1</v>
      </c>
      <c r="H19" t="s">
        <v>10</v>
      </c>
    </row>
    <row r="20" spans="1:8" x14ac:dyDescent="0.3">
      <c r="A20">
        <v>19</v>
      </c>
      <c r="B20" t="s">
        <v>33</v>
      </c>
      <c r="C20">
        <v>5</v>
      </c>
      <c r="D20">
        <f t="shared" si="0"/>
        <v>2.4975000000000001</v>
      </c>
      <c r="E20">
        <v>0.01</v>
      </c>
      <c r="F20">
        <v>10</v>
      </c>
      <c r="G20">
        <v>1</v>
      </c>
    </row>
    <row r="21" spans="1:8" x14ac:dyDescent="0.3">
      <c r="A21">
        <v>20</v>
      </c>
      <c r="B21" t="s">
        <v>34</v>
      </c>
      <c r="C21">
        <v>0</v>
      </c>
      <c r="D21">
        <f t="shared" si="0"/>
        <v>0</v>
      </c>
      <c r="E21" s="2">
        <v>0</v>
      </c>
      <c r="F21" s="2">
        <v>0</v>
      </c>
      <c r="G21">
        <v>1</v>
      </c>
      <c r="H21" t="s">
        <v>10</v>
      </c>
    </row>
    <row r="22" spans="1:8" x14ac:dyDescent="0.3">
      <c r="A22">
        <v>21</v>
      </c>
      <c r="B22" t="s">
        <v>35</v>
      </c>
      <c r="C22">
        <v>0</v>
      </c>
      <c r="D22">
        <f t="shared" si="0"/>
        <v>0</v>
      </c>
      <c r="E22" s="2">
        <v>0</v>
      </c>
      <c r="F22" s="2">
        <v>0</v>
      </c>
      <c r="G22">
        <v>1</v>
      </c>
      <c r="H22" t="s">
        <v>10</v>
      </c>
    </row>
    <row r="23" spans="1:8" x14ac:dyDescent="0.3">
      <c r="A23">
        <v>22</v>
      </c>
      <c r="B23" t="s">
        <v>36</v>
      </c>
      <c r="C23">
        <v>10</v>
      </c>
      <c r="D23">
        <f t="shared" si="0"/>
        <v>24.75</v>
      </c>
      <c r="E23">
        <v>1</v>
      </c>
      <c r="F23">
        <v>100</v>
      </c>
      <c r="G23">
        <v>1</v>
      </c>
    </row>
    <row r="24" spans="1:8" x14ac:dyDescent="0.3">
      <c r="A24">
        <v>23</v>
      </c>
      <c r="B24" t="s">
        <v>37</v>
      </c>
      <c r="C24">
        <v>100000</v>
      </c>
      <c r="D24">
        <f t="shared" si="0"/>
        <v>247500</v>
      </c>
      <c r="E24" s="2">
        <v>10000</v>
      </c>
      <c r="F24" s="3">
        <v>1000000</v>
      </c>
      <c r="G24">
        <v>1</v>
      </c>
      <c r="H24" t="s">
        <v>10</v>
      </c>
    </row>
    <row r="25" spans="1:8" x14ac:dyDescent="0.3">
      <c r="A25">
        <v>24</v>
      </c>
      <c r="B25" t="s">
        <v>38</v>
      </c>
      <c r="C25">
        <v>10</v>
      </c>
      <c r="D25">
        <f t="shared" si="0"/>
        <v>24.75</v>
      </c>
      <c r="E25">
        <v>1</v>
      </c>
      <c r="F25">
        <v>100</v>
      </c>
      <c r="G25">
        <v>1</v>
      </c>
    </row>
    <row r="26" spans="1:8" x14ac:dyDescent="0.3">
      <c r="A26">
        <v>25</v>
      </c>
      <c r="B26" t="s">
        <v>78</v>
      </c>
      <c r="C26">
        <v>40</v>
      </c>
      <c r="D26">
        <f t="shared" si="0"/>
        <v>15</v>
      </c>
      <c r="E26">
        <v>10</v>
      </c>
      <c r="F26">
        <v>70</v>
      </c>
      <c r="G26">
        <v>4</v>
      </c>
    </row>
    <row r="27" spans="1:8" x14ac:dyDescent="0.3">
      <c r="A27">
        <v>26</v>
      </c>
      <c r="B27" t="s">
        <v>39</v>
      </c>
      <c r="C27">
        <v>0.8</v>
      </c>
      <c r="D27">
        <f t="shared" si="0"/>
        <v>0.24975</v>
      </c>
      <c r="E27">
        <v>1E-3</v>
      </c>
      <c r="F27">
        <v>1</v>
      </c>
      <c r="G27">
        <v>1</v>
      </c>
    </row>
    <row r="28" spans="1:8" x14ac:dyDescent="0.3">
      <c r="A28">
        <v>27</v>
      </c>
      <c r="B28" t="s">
        <v>40</v>
      </c>
      <c r="C28">
        <v>1E-3</v>
      </c>
      <c r="D28">
        <f t="shared" si="0"/>
        <v>0.24975</v>
      </c>
      <c r="E28">
        <v>1E-3</v>
      </c>
      <c r="F28">
        <v>1</v>
      </c>
      <c r="G28">
        <v>1</v>
      </c>
    </row>
    <row r="29" spans="1:8" x14ac:dyDescent="0.3">
      <c r="A29">
        <v>28</v>
      </c>
      <c r="B29" t="s">
        <v>41</v>
      </c>
      <c r="C29">
        <v>0.5</v>
      </c>
      <c r="D29">
        <f t="shared" si="0"/>
        <v>2.4997500000000001</v>
      </c>
      <c r="E29">
        <v>1E-3</v>
      </c>
      <c r="F29">
        <v>10</v>
      </c>
      <c r="G29">
        <v>1</v>
      </c>
    </row>
    <row r="30" spans="1:8" x14ac:dyDescent="0.3">
      <c r="A30">
        <v>29</v>
      </c>
      <c r="B30" t="s">
        <v>42</v>
      </c>
      <c r="C30">
        <v>0.7</v>
      </c>
      <c r="D30">
        <f t="shared" si="0"/>
        <v>5.0000000000000017E-2</v>
      </c>
      <c r="E30" s="2">
        <v>0.6</v>
      </c>
      <c r="F30" s="2">
        <v>0.8</v>
      </c>
      <c r="G30">
        <v>4</v>
      </c>
      <c r="H30" t="s">
        <v>10</v>
      </c>
    </row>
    <row r="31" spans="1:8" x14ac:dyDescent="0.3">
      <c r="A31">
        <v>30</v>
      </c>
      <c r="B31" t="s">
        <v>79</v>
      </c>
      <c r="C31">
        <v>20</v>
      </c>
      <c r="D31">
        <f t="shared" si="0"/>
        <v>15</v>
      </c>
      <c r="E31">
        <v>10</v>
      </c>
      <c r="F31">
        <v>70</v>
      </c>
      <c r="G31">
        <v>4</v>
      </c>
    </row>
    <row r="32" spans="1:8" x14ac:dyDescent="0.3">
      <c r="A32">
        <v>31</v>
      </c>
      <c r="B32" t="s">
        <v>43</v>
      </c>
      <c r="C32">
        <v>0.5</v>
      </c>
      <c r="D32">
        <f t="shared" si="0"/>
        <v>4.9999999999999989E-2</v>
      </c>
      <c r="E32" s="2">
        <v>0.4</v>
      </c>
      <c r="F32" s="2">
        <v>0.6</v>
      </c>
      <c r="G32">
        <v>4</v>
      </c>
      <c r="H32" t="s">
        <v>10</v>
      </c>
    </row>
    <row r="33" spans="1:8" x14ac:dyDescent="0.3">
      <c r="A33">
        <v>32</v>
      </c>
      <c r="B33" t="s">
        <v>44</v>
      </c>
      <c r="C33">
        <v>1E-3</v>
      </c>
      <c r="D33">
        <f t="shared" si="0"/>
        <v>0.24975</v>
      </c>
      <c r="E33">
        <v>1E-3</v>
      </c>
      <c r="F33">
        <v>1</v>
      </c>
      <c r="G33">
        <v>1</v>
      </c>
    </row>
    <row r="34" spans="1:8" x14ac:dyDescent="0.3">
      <c r="A34">
        <v>33</v>
      </c>
      <c r="B34" t="s">
        <v>45</v>
      </c>
      <c r="C34">
        <v>48</v>
      </c>
      <c r="D34">
        <f t="shared" si="0"/>
        <v>0.5</v>
      </c>
      <c r="E34" s="2">
        <v>47</v>
      </c>
      <c r="F34" s="2">
        <v>49</v>
      </c>
      <c r="G34">
        <v>4</v>
      </c>
      <c r="H34" t="s">
        <v>10</v>
      </c>
    </row>
    <row r="35" spans="1:8" x14ac:dyDescent="0.3">
      <c r="A35">
        <v>34</v>
      </c>
      <c r="B35" t="s">
        <v>46</v>
      </c>
      <c r="C35">
        <v>30.46</v>
      </c>
      <c r="D35">
        <f t="shared" si="0"/>
        <v>22.5</v>
      </c>
      <c r="E35" s="2">
        <v>10</v>
      </c>
      <c r="F35" s="2">
        <v>100</v>
      </c>
      <c r="G35">
        <v>1</v>
      </c>
      <c r="H35" t="s">
        <v>10</v>
      </c>
    </row>
    <row r="36" spans="1:8" x14ac:dyDescent="0.3">
      <c r="A36">
        <v>35</v>
      </c>
      <c r="B36" t="s">
        <v>47</v>
      </c>
      <c r="C36">
        <v>0.1</v>
      </c>
      <c r="D36">
        <f t="shared" si="0"/>
        <v>0.24975</v>
      </c>
      <c r="E36">
        <v>1E-3</v>
      </c>
      <c r="F36">
        <v>1</v>
      </c>
      <c r="G36">
        <v>2</v>
      </c>
    </row>
    <row r="37" spans="1:8" x14ac:dyDescent="0.3">
      <c r="A37">
        <v>36</v>
      </c>
      <c r="B37" t="s">
        <v>48</v>
      </c>
      <c r="C37">
        <v>0.11</v>
      </c>
      <c r="D37">
        <f t="shared" si="0"/>
        <v>0.27225000000000005</v>
      </c>
      <c r="E37" s="2">
        <v>1.0999999999999999E-2</v>
      </c>
      <c r="F37" s="2">
        <v>1.1000000000000001</v>
      </c>
      <c r="G37">
        <v>1</v>
      </c>
      <c r="H37" t="s">
        <v>10</v>
      </c>
    </row>
    <row r="38" spans="1:8" x14ac:dyDescent="0.3">
      <c r="A38">
        <v>37</v>
      </c>
      <c r="B38" t="s">
        <v>49</v>
      </c>
      <c r="C38">
        <v>0.83</v>
      </c>
      <c r="D38">
        <f t="shared" si="0"/>
        <v>2.0542500000000001</v>
      </c>
      <c r="E38" s="2">
        <v>8.3000000000000004E-2</v>
      </c>
      <c r="F38" s="2">
        <v>8.3000000000000007</v>
      </c>
      <c r="G38">
        <v>1</v>
      </c>
      <c r="H38" t="s">
        <v>10</v>
      </c>
    </row>
    <row r="39" spans="1:8" x14ac:dyDescent="0.3">
      <c r="A39">
        <v>38</v>
      </c>
      <c r="B39" t="s">
        <v>50</v>
      </c>
      <c r="C39">
        <v>1</v>
      </c>
      <c r="D39">
        <f t="shared" si="0"/>
        <v>2.4975000000000001</v>
      </c>
      <c r="E39">
        <v>0.01</v>
      </c>
      <c r="F39">
        <v>10</v>
      </c>
      <c r="G39">
        <v>1</v>
      </c>
    </row>
    <row r="40" spans="1:8" x14ac:dyDescent="0.3">
      <c r="A40">
        <v>39</v>
      </c>
      <c r="B40" t="s">
        <v>51</v>
      </c>
      <c r="C40">
        <v>2.58</v>
      </c>
      <c r="D40">
        <f t="shared" si="0"/>
        <v>2.4975000000000001</v>
      </c>
      <c r="E40">
        <v>0.01</v>
      </c>
      <c r="F40">
        <v>10</v>
      </c>
      <c r="G40">
        <v>1</v>
      </c>
    </row>
    <row r="41" spans="1:8" x14ac:dyDescent="0.3">
      <c r="A41">
        <v>40</v>
      </c>
      <c r="B41" t="s">
        <v>52</v>
      </c>
      <c r="C41">
        <v>0</v>
      </c>
      <c r="D41">
        <f t="shared" si="0"/>
        <v>0</v>
      </c>
      <c r="E41" s="2">
        <v>0</v>
      </c>
      <c r="F41" s="2">
        <v>0</v>
      </c>
      <c r="G41">
        <v>1</v>
      </c>
      <c r="H41" t="s">
        <v>10</v>
      </c>
    </row>
    <row r="42" spans="1:8" x14ac:dyDescent="0.3">
      <c r="A42">
        <v>41</v>
      </c>
      <c r="B42" t="s">
        <v>53</v>
      </c>
      <c r="C42">
        <v>1</v>
      </c>
      <c r="D42">
        <f t="shared" si="0"/>
        <v>2.25</v>
      </c>
      <c r="E42">
        <v>1</v>
      </c>
      <c r="F42">
        <v>10</v>
      </c>
      <c r="G42">
        <v>1</v>
      </c>
    </row>
    <row r="43" spans="1:8" x14ac:dyDescent="0.3">
      <c r="A43">
        <v>42</v>
      </c>
      <c r="B43" t="s">
        <v>80</v>
      </c>
      <c r="C43">
        <v>20</v>
      </c>
      <c r="D43">
        <f t="shared" si="0"/>
        <v>15</v>
      </c>
      <c r="E43">
        <v>10</v>
      </c>
      <c r="F43">
        <v>70</v>
      </c>
      <c r="G43">
        <v>4</v>
      </c>
    </row>
    <row r="44" spans="1:8" x14ac:dyDescent="0.3">
      <c r="A44">
        <v>43</v>
      </c>
      <c r="B44" t="s">
        <v>54</v>
      </c>
      <c r="C44">
        <v>15.31</v>
      </c>
      <c r="D44">
        <f t="shared" si="0"/>
        <v>10</v>
      </c>
      <c r="E44">
        <v>10</v>
      </c>
      <c r="F44">
        <v>50</v>
      </c>
      <c r="G44">
        <v>1</v>
      </c>
      <c r="H44" t="s">
        <v>10</v>
      </c>
    </row>
    <row r="45" spans="1:8" x14ac:dyDescent="0.3">
      <c r="A45">
        <v>44</v>
      </c>
      <c r="B45" t="s">
        <v>55</v>
      </c>
      <c r="C45">
        <v>5</v>
      </c>
      <c r="D45">
        <f t="shared" si="0"/>
        <v>2.25</v>
      </c>
      <c r="E45">
        <v>1</v>
      </c>
      <c r="F45">
        <v>10</v>
      </c>
      <c r="G45">
        <v>2</v>
      </c>
    </row>
    <row r="46" spans="1:8" x14ac:dyDescent="0.3">
      <c r="A46">
        <v>45</v>
      </c>
      <c r="B46" t="s">
        <v>56</v>
      </c>
      <c r="C46">
        <v>0.11</v>
      </c>
      <c r="D46">
        <f t="shared" ref="D46" si="1">(F46-E46)/4</f>
        <v>0.27225000000000005</v>
      </c>
      <c r="E46" s="2">
        <v>1.0999999999999999E-2</v>
      </c>
      <c r="F46" s="2">
        <v>1.1000000000000001</v>
      </c>
      <c r="G46">
        <v>1</v>
      </c>
      <c r="H46" t="s">
        <v>10</v>
      </c>
    </row>
    <row r="47" spans="1:8" x14ac:dyDescent="0.3">
      <c r="A47">
        <v>46</v>
      </c>
      <c r="B47" t="s">
        <v>57</v>
      </c>
      <c r="C47">
        <v>1.3</v>
      </c>
      <c r="D47">
        <f>(F47-E47)/4</f>
        <v>3.2174999999999998</v>
      </c>
      <c r="E47" s="2">
        <v>0.13</v>
      </c>
      <c r="F47" s="2">
        <v>13</v>
      </c>
      <c r="G47">
        <v>1</v>
      </c>
      <c r="H47" t="s">
        <v>10</v>
      </c>
    </row>
    <row r="48" spans="1:8" x14ac:dyDescent="0.3">
      <c r="A48">
        <v>47</v>
      </c>
      <c r="B48" t="s">
        <v>58</v>
      </c>
      <c r="C48" s="1">
        <v>10</v>
      </c>
      <c r="D48">
        <f t="shared" si="0"/>
        <v>24.75</v>
      </c>
      <c r="E48">
        <v>1</v>
      </c>
      <c r="F48">
        <v>100</v>
      </c>
      <c r="G48">
        <v>1</v>
      </c>
    </row>
    <row r="49" spans="1:10" x14ac:dyDescent="0.3">
      <c r="A49">
        <v>48</v>
      </c>
      <c r="B49" t="s">
        <v>59</v>
      </c>
      <c r="C49" s="1">
        <v>6.45</v>
      </c>
      <c r="D49">
        <f t="shared" si="0"/>
        <v>15.963749999999999</v>
      </c>
      <c r="E49">
        <v>0.64500000000000002</v>
      </c>
      <c r="F49">
        <v>64.5</v>
      </c>
      <c r="G49">
        <v>1</v>
      </c>
    </row>
    <row r="50" spans="1:10" x14ac:dyDescent="0.3">
      <c r="A50">
        <v>49</v>
      </c>
      <c r="B50" t="s">
        <v>60</v>
      </c>
      <c r="C50" s="1">
        <v>3.6</v>
      </c>
      <c r="D50">
        <f t="shared" si="0"/>
        <v>8.91</v>
      </c>
      <c r="E50">
        <v>0.36</v>
      </c>
      <c r="F50">
        <v>36</v>
      </c>
      <c r="G50">
        <v>1</v>
      </c>
    </row>
    <row r="51" spans="1:10" x14ac:dyDescent="0.3">
      <c r="A51">
        <v>50</v>
      </c>
      <c r="B51" t="s">
        <v>61</v>
      </c>
      <c r="C51" s="1">
        <v>20</v>
      </c>
      <c r="D51">
        <f t="shared" si="0"/>
        <v>49.5</v>
      </c>
      <c r="E51">
        <v>2</v>
      </c>
      <c r="F51">
        <v>200</v>
      </c>
      <c r="G51">
        <v>1</v>
      </c>
    </row>
    <row r="52" spans="1:10" x14ac:dyDescent="0.3">
      <c r="A52">
        <v>51</v>
      </c>
      <c r="B52" t="s">
        <v>62</v>
      </c>
      <c r="C52" s="1">
        <v>38</v>
      </c>
      <c r="D52">
        <f t="shared" si="0"/>
        <v>94.05</v>
      </c>
      <c r="E52">
        <v>3.8</v>
      </c>
      <c r="F52">
        <v>380</v>
      </c>
      <c r="G52">
        <v>1</v>
      </c>
    </row>
    <row r="53" spans="1:10" x14ac:dyDescent="0.3">
      <c r="A53">
        <v>52</v>
      </c>
      <c r="B53" t="s">
        <v>63</v>
      </c>
      <c r="C53" s="1">
        <v>16.600000000000001</v>
      </c>
      <c r="D53">
        <f t="shared" si="0"/>
        <v>41.085000000000001</v>
      </c>
      <c r="E53">
        <v>1.66</v>
      </c>
      <c r="F53">
        <v>166</v>
      </c>
      <c r="G53">
        <v>1</v>
      </c>
    </row>
    <row r="54" spans="1:10" x14ac:dyDescent="0.3">
      <c r="A54">
        <v>53</v>
      </c>
      <c r="B54" t="s">
        <v>64</v>
      </c>
      <c r="C54">
        <v>-1.619</v>
      </c>
      <c r="D54">
        <f t="shared" ref="D54:D67" si="2">(F54-E54)/4</f>
        <v>0</v>
      </c>
      <c r="E54">
        <f>C54</f>
        <v>-1.619</v>
      </c>
      <c r="F54">
        <f>C54</f>
        <v>-1.619</v>
      </c>
      <c r="G54">
        <v>1</v>
      </c>
      <c r="H54" t="s">
        <v>10</v>
      </c>
      <c r="J54" t="s">
        <v>7</v>
      </c>
    </row>
    <row r="55" spans="1:10" x14ac:dyDescent="0.3">
      <c r="A55">
        <v>54</v>
      </c>
      <c r="B55" t="s">
        <v>65</v>
      </c>
      <c r="C55">
        <v>8592</v>
      </c>
      <c r="D55">
        <f t="shared" si="2"/>
        <v>0</v>
      </c>
      <c r="E55">
        <f t="shared" ref="E55:E67" si="3">C55</f>
        <v>8592</v>
      </c>
      <c r="F55">
        <f t="shared" ref="F55:F67" si="4">C55</f>
        <v>8592</v>
      </c>
      <c r="G55">
        <v>1</v>
      </c>
      <c r="H55" t="s">
        <v>10</v>
      </c>
    </row>
    <row r="56" spans="1:10" x14ac:dyDescent="0.3">
      <c r="A56">
        <v>55</v>
      </c>
      <c r="B56" t="s">
        <v>77</v>
      </c>
      <c r="C56">
        <v>1.5E-3</v>
      </c>
      <c r="D56">
        <f t="shared" si="2"/>
        <v>0</v>
      </c>
      <c r="E56">
        <f t="shared" si="3"/>
        <v>1.5E-3</v>
      </c>
      <c r="F56">
        <f t="shared" si="4"/>
        <v>1.5E-3</v>
      </c>
      <c r="G56">
        <v>1</v>
      </c>
      <c r="H56" t="s">
        <v>10</v>
      </c>
    </row>
    <row r="57" spans="1:10" x14ac:dyDescent="0.3">
      <c r="A57">
        <v>56</v>
      </c>
      <c r="B57" t="s">
        <v>66</v>
      </c>
      <c r="C57">
        <v>1769.8</v>
      </c>
      <c r="D57">
        <f t="shared" si="2"/>
        <v>0</v>
      </c>
      <c r="E57">
        <f t="shared" si="3"/>
        <v>1769.8</v>
      </c>
      <c r="F57">
        <f t="shared" si="4"/>
        <v>1769.8</v>
      </c>
      <c r="G57">
        <v>1</v>
      </c>
      <c r="H57" t="s">
        <v>10</v>
      </c>
    </row>
    <row r="58" spans="1:10" x14ac:dyDescent="0.3">
      <c r="A58">
        <v>57</v>
      </c>
      <c r="B58" t="s">
        <v>67</v>
      </c>
      <c r="C58">
        <v>258.5</v>
      </c>
      <c r="D58">
        <f t="shared" si="2"/>
        <v>0</v>
      </c>
      <c r="E58">
        <f t="shared" si="3"/>
        <v>258.5</v>
      </c>
      <c r="F58">
        <f t="shared" si="4"/>
        <v>258.5</v>
      </c>
      <c r="G58">
        <v>1</v>
      </c>
      <c r="H58" t="s">
        <v>10</v>
      </c>
    </row>
    <row r="59" spans="1:10" x14ac:dyDescent="0.3">
      <c r="A59">
        <v>58</v>
      </c>
      <c r="B59" t="s">
        <v>68</v>
      </c>
      <c r="C59">
        <v>0.23400000000000001</v>
      </c>
      <c r="D59">
        <f t="shared" si="2"/>
        <v>0</v>
      </c>
      <c r="E59">
        <f t="shared" si="3"/>
        <v>0.23400000000000001</v>
      </c>
      <c r="F59">
        <f t="shared" si="4"/>
        <v>0.23400000000000001</v>
      </c>
      <c r="G59">
        <v>1</v>
      </c>
      <c r="H59" t="s">
        <v>10</v>
      </c>
    </row>
    <row r="60" spans="1:10" x14ac:dyDescent="0.3">
      <c r="A60">
        <v>59</v>
      </c>
      <c r="B60" t="s">
        <v>69</v>
      </c>
      <c r="C60">
        <v>7.7850000000000001</v>
      </c>
      <c r="D60">
        <f t="shared" si="2"/>
        <v>0</v>
      </c>
      <c r="E60">
        <f t="shared" si="3"/>
        <v>7.7850000000000001</v>
      </c>
      <c r="F60">
        <f t="shared" si="4"/>
        <v>7.7850000000000001</v>
      </c>
      <c r="G60">
        <v>1</v>
      </c>
      <c r="H60" t="s">
        <v>10</v>
      </c>
    </row>
    <row r="61" spans="1:10" x14ac:dyDescent="0.3">
      <c r="A61">
        <v>60</v>
      </c>
      <c r="B61" t="s">
        <v>70</v>
      </c>
      <c r="C61">
        <v>0.15</v>
      </c>
      <c r="D61">
        <f t="shared" si="2"/>
        <v>0</v>
      </c>
      <c r="E61">
        <f t="shared" si="3"/>
        <v>0.15</v>
      </c>
      <c r="F61">
        <f t="shared" si="4"/>
        <v>0.15</v>
      </c>
      <c r="G61">
        <v>1</v>
      </c>
      <c r="H61" t="s">
        <v>10</v>
      </c>
    </row>
    <row r="62" spans="1:10" x14ac:dyDescent="0.3">
      <c r="A62">
        <v>61</v>
      </c>
      <c r="B62" t="s">
        <v>71</v>
      </c>
      <c r="C62">
        <v>1.36</v>
      </c>
      <c r="D62">
        <f t="shared" si="2"/>
        <v>0</v>
      </c>
      <c r="E62">
        <f t="shared" si="3"/>
        <v>1.36</v>
      </c>
      <c r="F62">
        <f t="shared" si="4"/>
        <v>1.36</v>
      </c>
      <c r="G62">
        <v>1</v>
      </c>
      <c r="H62" t="s">
        <v>10</v>
      </c>
    </row>
    <row r="63" spans="1:10" x14ac:dyDescent="0.3">
      <c r="A63">
        <v>62</v>
      </c>
      <c r="B63" t="s">
        <v>72</v>
      </c>
      <c r="C63">
        <v>72.477999999999994</v>
      </c>
      <c r="D63">
        <f t="shared" si="2"/>
        <v>0</v>
      </c>
      <c r="E63">
        <f t="shared" si="3"/>
        <v>72.477999999999994</v>
      </c>
      <c r="F63">
        <f t="shared" si="4"/>
        <v>72.477999999999994</v>
      </c>
      <c r="G63">
        <v>1</v>
      </c>
      <c r="H63" t="s">
        <v>10</v>
      </c>
    </row>
    <row r="64" spans="1:10" x14ac:dyDescent="0.3">
      <c r="A64">
        <v>63</v>
      </c>
      <c r="B64" t="s">
        <v>73</v>
      </c>
      <c r="C64">
        <v>0.13100000000000001</v>
      </c>
      <c r="D64">
        <f t="shared" si="2"/>
        <v>0</v>
      </c>
      <c r="E64">
        <f t="shared" si="3"/>
        <v>0.13100000000000001</v>
      </c>
      <c r="F64">
        <f t="shared" si="4"/>
        <v>0.13100000000000001</v>
      </c>
      <c r="G64">
        <v>1</v>
      </c>
      <c r="H64" t="s">
        <v>10</v>
      </c>
    </row>
    <row r="65" spans="1:8" x14ac:dyDescent="0.3">
      <c r="A65">
        <v>64</v>
      </c>
      <c r="B65" t="s">
        <v>74</v>
      </c>
      <c r="C65">
        <v>22.033999999999999</v>
      </c>
      <c r="D65">
        <f t="shared" si="2"/>
        <v>0</v>
      </c>
      <c r="E65">
        <f t="shared" si="3"/>
        <v>22.033999999999999</v>
      </c>
      <c r="F65">
        <f t="shared" si="4"/>
        <v>22.033999999999999</v>
      </c>
      <c r="G65">
        <v>1</v>
      </c>
      <c r="H65" t="s">
        <v>10</v>
      </c>
    </row>
    <row r="66" spans="1:8" x14ac:dyDescent="0.3">
      <c r="A66">
        <v>65</v>
      </c>
      <c r="B66" t="s">
        <v>75</v>
      </c>
      <c r="C66">
        <v>3.2839999999999998</v>
      </c>
      <c r="D66">
        <f t="shared" si="2"/>
        <v>0</v>
      </c>
      <c r="E66">
        <f t="shared" si="3"/>
        <v>3.2839999999999998</v>
      </c>
      <c r="F66">
        <f t="shared" si="4"/>
        <v>3.2839999999999998</v>
      </c>
      <c r="G66">
        <v>1</v>
      </c>
      <c r="H66" t="s">
        <v>10</v>
      </c>
    </row>
    <row r="67" spans="1:8" x14ac:dyDescent="0.3">
      <c r="A67">
        <v>66</v>
      </c>
      <c r="B67" t="s">
        <v>76</v>
      </c>
      <c r="C67">
        <v>35.752000000000002</v>
      </c>
      <c r="D67">
        <f t="shared" si="2"/>
        <v>0</v>
      </c>
      <c r="E67">
        <f t="shared" si="3"/>
        <v>35.752000000000002</v>
      </c>
      <c r="F67">
        <f t="shared" si="4"/>
        <v>35.752000000000002</v>
      </c>
      <c r="G67">
        <v>1</v>
      </c>
      <c r="H6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 GARG</dc:creator>
  <cp:keywords/>
  <dc:description/>
  <cp:lastModifiedBy>Meghana Munipalle</cp:lastModifiedBy>
  <cp:revision/>
  <dcterms:created xsi:type="dcterms:W3CDTF">2017-09-06T21:17:29Z</dcterms:created>
  <dcterms:modified xsi:type="dcterms:W3CDTF">2026-09-16T12:24:37Z</dcterms:modified>
  <cp:category/>
  <cp:contentStatus/>
</cp:coreProperties>
</file>